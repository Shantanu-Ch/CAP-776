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ython CAP776 Excell\"/>
    </mc:Choice>
  </mc:AlternateContent>
  <xr:revisionPtr revIDLastSave="0" documentId="13_ncr:1_{52AF1C84-5EAC-411B-A1A7-D6861F911CA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2" l="1"/>
  <c r="J15" i="2" s="1"/>
  <c r="I16" i="2"/>
  <c r="J16" i="2" s="1"/>
  <c r="I17" i="2"/>
  <c r="J17" i="2"/>
  <c r="I18" i="2"/>
  <c r="J18" i="2" s="1"/>
  <c r="I19" i="2"/>
  <c r="J19" i="2"/>
  <c r="I20" i="2"/>
  <c r="J20" i="2" s="1"/>
  <c r="I21" i="2"/>
  <c r="J21" i="2"/>
  <c r="I22" i="2"/>
  <c r="J22" i="2" s="1"/>
  <c r="I23" i="2"/>
  <c r="J23" i="2"/>
  <c r="I24" i="2"/>
  <c r="J24" i="2" s="1"/>
  <c r="I25" i="2"/>
  <c r="J2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<sst xmlns="http://schemas.openxmlformats.org/spreadsheetml/2006/main" count="157" uniqueCount="92">
  <si>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</si>
  <si>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</si>
  <si>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</si>
  <si>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</si>
  <si>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</si>
  <si>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</si>
  <si>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</si>
  <si>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</si>
  <si>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</si>
  <si>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</si>
  <si>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</si>
  <si>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</si>
  <si>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</si>
  <si>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</si>
  <si>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</si>
  <si>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</si>
  <si>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</si>
  <si>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</si>
  <si>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</si>
  <si>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</si>
  <si>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</si>
  <si>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</si>
  <si>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</si>
  <si>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</si>
  <si>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</si>
  <si>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</si>
  <si>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</si>
  <si>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</si>
  <si>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</si>
  <si>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</si>
  <si>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</si>
  <si>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</si>
  <si>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</si>
  <si>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</si>
  <si>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</si>
  <si>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</si>
  <si>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</si>
  <si>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</si>
  <si>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</si>
  <si>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</si>
  <si>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</si>
  <si>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</si>
  <si>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</si>
  <si>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</si>
  <si>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</si>
  <si>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</si>
  <si>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</si>
  <si>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</si>
  <si>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</si>
  <si>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</si>
  <si>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</si>
  <si>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</si>
  <si>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</si>
  <si>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Shantanu Chhetri</t>
  </si>
  <si>
    <t>August</t>
  </si>
  <si>
    <t>CAP776 / D1P2634</t>
  </si>
  <si>
    <t>High</t>
  </si>
  <si>
    <t>Productive</t>
  </si>
  <si>
    <t>Tired</t>
  </si>
  <si>
    <t>Neutral</t>
  </si>
  <si>
    <t>Low</t>
  </si>
  <si>
    <t>Energetic</t>
  </si>
  <si>
    <t>Exhausted</t>
  </si>
  <si>
    <t>Refreshed</t>
  </si>
  <si>
    <t>Attended 5 classes; maintained focus and completed evening study session.</t>
  </si>
  <si>
    <t>Attended 5 classes; successfully covered lab work and assignment tasks.</t>
  </si>
  <si>
    <t>Lighter schedule with 4 classes; steady energy for personal study.</t>
  </si>
  <si>
    <t>Packed schedule with 6 classes; felt drained by late afternoon.</t>
  </si>
  <si>
    <t>Heavy 7-class schedule; managed to complete all lectures but needed rest in evening.</t>
  </si>
  <si>
    <t>No classes; dedicated day to recovery, project coding, and leisure.</t>
  </si>
  <si>
    <t>Relaxed</t>
  </si>
  <si>
    <t>Highly Satisfied</t>
  </si>
  <si>
    <t>Sunday break; reviewed weak concepts and prepared schedule for upcoming week.</t>
  </si>
  <si>
    <t>Attended 5 classes; started week with solid momentum and evening coding session.</t>
  </si>
  <si>
    <t>Attended 5 classes; stayed on track with coursework and made solid progress on programming tasks.</t>
  </si>
  <si>
    <t>Busy day with 6 classes; stayed attentive and finished daily lab work.</t>
  </si>
  <si>
    <t>Heavy 7-class schedule; completed classes and spent time on coding project.</t>
  </si>
  <si>
    <t>Weekend study routine; made major progress on project implementation.</t>
  </si>
  <si>
    <t>Rest and reset day; caught up on reading and prepared for the week ahead.</t>
  </si>
  <si>
    <t>Attended 5 classes; smooth start to the week with steady study hours.</t>
  </si>
  <si>
    <t>Attended 5 classes; completed practice problems and coding tasks.</t>
  </si>
  <si>
    <t>Balanced day with 4 classes; focused on workout and core subject review.</t>
  </si>
  <si>
    <t>Attended 6 classes; managed homework assignments in the evening.</t>
  </si>
  <si>
    <t>End of the week with 7 classes; wrapped up pending lab write-ups.</t>
  </si>
  <si>
    <t>Lighter lecture schedule completed study goals and evening revision.</t>
  </si>
  <si>
    <t>Saturday self-study session; devoted significant time to full-stack project building.</t>
  </si>
  <si>
    <t>Sunday rest day; organized study materials and reviewed core concepts.</t>
  </si>
  <si>
    <t>Attended 5 classes; started the week focused with an evening problem-solving session.</t>
  </si>
  <si>
    <t>Attended 5 classes; completed lab work efficiently and made progress on code repo.</t>
  </si>
  <si>
    <t>Lighter 4-class day; balanced fitness workout with evening assignment work.</t>
  </si>
  <si>
    <t>Busy day with 6 classes; stayed focused in lectures and revised evening notes.</t>
  </si>
  <si>
    <t>End of the week with 7 classes; completed weekly deliverables and lab write-ups.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</si>
</sst>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P23" sqref="P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53</v>
      </c>
      <c r="C2" s="21"/>
      <c r="D2" s="21"/>
      <c r="E2" s="6" t="s">
        <v>31</v>
      </c>
      <c r="F2" s="21">
        <v>12600717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1" t="s">
        <v>54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33" customHeight="1" x14ac:dyDescent="0.3">
      <c r="A6" s="8">
        <v>46258</v>
      </c>
      <c r="B6" s="9">
        <v>420</v>
      </c>
      <c r="C6" s="9">
        <v>45</v>
      </c>
      <c r="D6" s="9">
        <v>120</v>
      </c>
      <c r="E6" s="9">
        <v>90</v>
      </c>
      <c r="F6" s="9">
        <v>250</v>
      </c>
      <c r="G6" s="9">
        <v>5</v>
      </c>
      <c r="H6" s="9">
        <v>180</v>
      </c>
      <c r="I6" s="10">
        <f t="shared" ref="I6:I69" si="0">IF(SUM(B6:F6,H6)=0,"",SUM(B6:F6,H6))</f>
        <v>1105</v>
      </c>
      <c r="J6" s="10">
        <f t="shared" ref="J6:J69" si="1">IF(I6="","",1440-I6)</f>
        <v>335</v>
      </c>
      <c r="K6" s="11" t="s">
        <v>61</v>
      </c>
      <c r="L6" s="11" t="s">
        <v>50</v>
      </c>
      <c r="M6" s="11" t="s">
        <v>56</v>
      </c>
      <c r="N6" s="12" t="s">
        <v>64</v>
      </c>
    </row>
    <row r="7" spans="1:14" ht="43.2" x14ac:dyDescent="0.3">
      <c r="A7" s="8">
        <v>46259</v>
      </c>
      <c r="B7" s="9">
        <v>450</v>
      </c>
      <c r="C7" s="9">
        <v>30</v>
      </c>
      <c r="D7" s="9">
        <v>150</v>
      </c>
      <c r="E7" s="9">
        <v>120</v>
      </c>
      <c r="F7" s="9">
        <v>250</v>
      </c>
      <c r="G7" s="9">
        <v>5</v>
      </c>
      <c r="H7" s="9">
        <v>150</v>
      </c>
      <c r="I7" s="15">
        <f t="shared" si="0"/>
        <v>1150</v>
      </c>
      <c r="J7" s="15">
        <f t="shared" si="1"/>
        <v>290</v>
      </c>
      <c r="K7" s="11" t="s">
        <v>57</v>
      </c>
      <c r="L7" s="11" t="s">
        <v>59</v>
      </c>
      <c r="M7" s="11" t="s">
        <v>56</v>
      </c>
      <c r="N7" s="12" t="s">
        <v>65</v>
      </c>
    </row>
    <row r="8" spans="1:14" ht="43.2" x14ac:dyDescent="0.3">
      <c r="A8" s="8">
        <v>46260</v>
      </c>
      <c r="B8" s="9">
        <v>420</v>
      </c>
      <c r="C8" s="9">
        <v>60</v>
      </c>
      <c r="D8" s="9">
        <v>90</v>
      </c>
      <c r="E8" s="9">
        <v>90</v>
      </c>
      <c r="F8" s="9">
        <v>200</v>
      </c>
      <c r="G8" s="9">
        <v>4</v>
      </c>
      <c r="H8" s="9">
        <v>180</v>
      </c>
      <c r="I8" s="15">
        <f t="shared" si="0"/>
        <v>1040</v>
      </c>
      <c r="J8" s="15">
        <f t="shared" si="1"/>
        <v>400</v>
      </c>
      <c r="K8" s="11" t="s">
        <v>49</v>
      </c>
      <c r="L8" s="11" t="s">
        <v>50</v>
      </c>
      <c r="M8" s="11" t="s">
        <v>51</v>
      </c>
      <c r="N8" s="12" t="s">
        <v>66</v>
      </c>
    </row>
    <row r="9" spans="1:14" ht="43.2" x14ac:dyDescent="0.3">
      <c r="A9" s="8">
        <v>46261</v>
      </c>
      <c r="B9" s="9">
        <v>480</v>
      </c>
      <c r="C9" s="9">
        <v>45</v>
      </c>
      <c r="D9" s="9">
        <v>180</v>
      </c>
      <c r="E9" s="9">
        <v>60</v>
      </c>
      <c r="F9" s="9">
        <v>300</v>
      </c>
      <c r="G9" s="9">
        <v>6</v>
      </c>
      <c r="H9" s="9">
        <v>150</v>
      </c>
      <c r="I9" s="15">
        <f t="shared" si="0"/>
        <v>1215</v>
      </c>
      <c r="J9" s="15">
        <f t="shared" si="1"/>
        <v>225</v>
      </c>
      <c r="K9" s="11" t="s">
        <v>58</v>
      </c>
      <c r="L9" s="11" t="s">
        <v>59</v>
      </c>
      <c r="M9" s="11" t="s">
        <v>51</v>
      </c>
      <c r="N9" s="12" t="s">
        <v>67</v>
      </c>
    </row>
    <row r="10" spans="1:14" ht="57.6" x14ac:dyDescent="0.3">
      <c r="A10" s="8">
        <v>46262</v>
      </c>
      <c r="B10" s="9">
        <v>420</v>
      </c>
      <c r="C10" s="9">
        <v>30</v>
      </c>
      <c r="D10" s="9">
        <v>120</v>
      </c>
      <c r="E10" s="9">
        <v>150</v>
      </c>
      <c r="F10" s="9">
        <v>350</v>
      </c>
      <c r="G10" s="9">
        <v>7</v>
      </c>
      <c r="H10" s="9">
        <v>210</v>
      </c>
      <c r="I10" s="15">
        <f t="shared" si="0"/>
        <v>1280</v>
      </c>
      <c r="J10" s="15">
        <f t="shared" si="1"/>
        <v>160</v>
      </c>
      <c r="K10" s="11" t="s">
        <v>62</v>
      </c>
      <c r="L10" s="11" t="s">
        <v>50</v>
      </c>
      <c r="M10" s="11" t="s">
        <v>60</v>
      </c>
      <c r="N10" s="12" t="s">
        <v>68</v>
      </c>
    </row>
    <row r="11" spans="1:14" ht="43.2" x14ac:dyDescent="0.3">
      <c r="A11" s="8">
        <v>46263</v>
      </c>
      <c r="B11" s="9">
        <v>510</v>
      </c>
      <c r="C11" s="9">
        <v>50</v>
      </c>
      <c r="D11" s="9">
        <v>150</v>
      </c>
      <c r="E11" s="9">
        <v>180</v>
      </c>
      <c r="F11" s="9">
        <v>0</v>
      </c>
      <c r="G11" s="9">
        <v>0</v>
      </c>
      <c r="H11" s="9">
        <v>240</v>
      </c>
      <c r="I11" s="15">
        <f t="shared" si="0"/>
        <v>1130</v>
      </c>
      <c r="J11" s="15">
        <f t="shared" si="1"/>
        <v>310</v>
      </c>
      <c r="K11" s="11" t="s">
        <v>63</v>
      </c>
      <c r="L11" s="11" t="s">
        <v>59</v>
      </c>
      <c r="M11" s="11" t="s">
        <v>56</v>
      </c>
      <c r="N11" s="12" t="s">
        <v>69</v>
      </c>
    </row>
    <row r="12" spans="1:14" ht="43.2" x14ac:dyDescent="0.3">
      <c r="A12" s="8">
        <v>46264</v>
      </c>
      <c r="B12" s="9">
        <v>510</v>
      </c>
      <c r="C12" s="9">
        <v>45</v>
      </c>
      <c r="D12" s="9">
        <v>180</v>
      </c>
      <c r="E12" s="9">
        <v>120</v>
      </c>
      <c r="F12" s="9">
        <v>0</v>
      </c>
      <c r="G12" s="9">
        <v>0</v>
      </c>
      <c r="H12" s="9">
        <v>270</v>
      </c>
      <c r="I12" s="15">
        <f t="shared" si="0"/>
        <v>1125</v>
      </c>
      <c r="J12" s="15">
        <f t="shared" si="1"/>
        <v>315</v>
      </c>
      <c r="K12" s="11" t="s">
        <v>70</v>
      </c>
      <c r="L12" s="11" t="s">
        <v>71</v>
      </c>
      <c r="M12" s="11" t="s">
        <v>56</v>
      </c>
      <c r="N12" s="12" t="s">
        <v>72</v>
      </c>
    </row>
    <row r="13" spans="1:14" ht="43.2" x14ac:dyDescent="0.3">
      <c r="A13" s="8">
        <v>46265</v>
      </c>
      <c r="B13" s="9">
        <v>420</v>
      </c>
      <c r="C13" s="9">
        <v>45</v>
      </c>
      <c r="D13" s="9">
        <v>120</v>
      </c>
      <c r="E13" s="9">
        <v>90</v>
      </c>
      <c r="F13" s="9">
        <v>250</v>
      </c>
      <c r="G13" s="9">
        <v>5</v>
      </c>
      <c r="H13" s="9">
        <v>180</v>
      </c>
      <c r="I13" s="15">
        <f t="shared" si="0"/>
        <v>1105</v>
      </c>
      <c r="J13" s="15">
        <f t="shared" si="1"/>
        <v>335</v>
      </c>
      <c r="K13" s="11" t="s">
        <v>61</v>
      </c>
      <c r="L13" s="11" t="s">
        <v>50</v>
      </c>
      <c r="M13" s="11" t="s">
        <v>56</v>
      </c>
      <c r="N13" s="12" t="s">
        <v>73</v>
      </c>
    </row>
    <row r="14" spans="1:14" ht="57.6" x14ac:dyDescent="0.3">
      <c r="A14" s="8">
        <v>46266</v>
      </c>
      <c r="B14" s="9">
        <v>450</v>
      </c>
      <c r="C14" s="9">
        <v>30</v>
      </c>
      <c r="D14" s="9">
        <v>150</v>
      </c>
      <c r="E14" s="9">
        <v>120</v>
      </c>
      <c r="F14" s="9">
        <v>250</v>
      </c>
      <c r="G14" s="9">
        <v>5</v>
      </c>
      <c r="H14" s="9">
        <v>150</v>
      </c>
      <c r="I14" s="15">
        <f t="shared" si="0"/>
        <v>1150</v>
      </c>
      <c r="J14" s="15">
        <f t="shared" si="1"/>
        <v>290</v>
      </c>
      <c r="K14" s="11" t="s">
        <v>57</v>
      </c>
      <c r="L14" s="11" t="s">
        <v>50</v>
      </c>
      <c r="M14" s="11" t="s">
        <v>51</v>
      </c>
      <c r="N14" s="12" t="s">
        <v>74</v>
      </c>
    </row>
    <row r="15" spans="1:14" ht="43.2" x14ac:dyDescent="0.3">
      <c r="A15" s="8">
        <v>46267</v>
      </c>
      <c r="B15" s="9">
        <v>420</v>
      </c>
      <c r="C15" s="9">
        <v>45</v>
      </c>
      <c r="D15" s="9">
        <v>120</v>
      </c>
      <c r="E15" s="9">
        <v>90</v>
      </c>
      <c r="F15" s="9">
        <v>200</v>
      </c>
      <c r="G15" s="9">
        <v>4</v>
      </c>
      <c r="H15" s="9">
        <v>180</v>
      </c>
      <c r="I15" s="15">
        <f t="shared" si="0"/>
        <v>1055</v>
      </c>
      <c r="J15" s="15">
        <f t="shared" si="1"/>
        <v>385</v>
      </c>
      <c r="K15" s="11" t="s">
        <v>49</v>
      </c>
      <c r="L15" s="11" t="s">
        <v>50</v>
      </c>
      <c r="M15" s="11" t="s">
        <v>51</v>
      </c>
      <c r="N15" s="18" t="s">
        <v>84</v>
      </c>
    </row>
    <row r="16" spans="1:14" ht="43.2" x14ac:dyDescent="0.3">
      <c r="A16" s="8">
        <v>46268</v>
      </c>
      <c r="B16" s="9">
        <v>450</v>
      </c>
      <c r="C16" s="9">
        <v>30</v>
      </c>
      <c r="D16" s="9">
        <v>150</v>
      </c>
      <c r="E16" s="9">
        <v>90</v>
      </c>
      <c r="F16" s="9">
        <v>300</v>
      </c>
      <c r="G16" s="9">
        <v>6</v>
      </c>
      <c r="H16" s="9">
        <v>150</v>
      </c>
      <c r="I16" s="15">
        <f t="shared" si="0"/>
        <v>1170</v>
      </c>
      <c r="J16" s="15">
        <f t="shared" si="1"/>
        <v>270</v>
      </c>
      <c r="K16" s="11" t="s">
        <v>58</v>
      </c>
      <c r="L16" s="11" t="s">
        <v>50</v>
      </c>
      <c r="M16" s="11" t="s">
        <v>51</v>
      </c>
      <c r="N16" s="12" t="s">
        <v>75</v>
      </c>
    </row>
    <row r="17" spans="1:14" ht="43.2" x14ac:dyDescent="0.3">
      <c r="A17" s="8">
        <v>46269</v>
      </c>
      <c r="B17" s="9">
        <v>420</v>
      </c>
      <c r="C17" s="9">
        <v>30</v>
      </c>
      <c r="D17" s="9">
        <v>90</v>
      </c>
      <c r="E17" s="9">
        <v>120</v>
      </c>
      <c r="F17" s="9">
        <v>350</v>
      </c>
      <c r="G17" s="9">
        <v>7</v>
      </c>
      <c r="H17" s="9">
        <v>180</v>
      </c>
      <c r="I17" s="15">
        <f t="shared" si="0"/>
        <v>1190</v>
      </c>
      <c r="J17" s="15">
        <f t="shared" si="1"/>
        <v>250</v>
      </c>
      <c r="K17" s="11" t="s">
        <v>62</v>
      </c>
      <c r="L17" s="11" t="s">
        <v>59</v>
      </c>
      <c r="M17" s="11" t="s">
        <v>60</v>
      </c>
      <c r="N17" s="12" t="s">
        <v>76</v>
      </c>
    </row>
    <row r="18" spans="1:14" ht="43.2" x14ac:dyDescent="0.3">
      <c r="A18" s="8">
        <v>46270</v>
      </c>
      <c r="B18" s="9">
        <v>510</v>
      </c>
      <c r="C18" s="9">
        <v>60</v>
      </c>
      <c r="D18" s="9">
        <v>180</v>
      </c>
      <c r="E18" s="9">
        <v>150</v>
      </c>
      <c r="F18" s="9">
        <v>0</v>
      </c>
      <c r="G18" s="9">
        <v>0</v>
      </c>
      <c r="H18" s="9">
        <v>240</v>
      </c>
      <c r="I18" s="15">
        <f t="shared" si="0"/>
        <v>1140</v>
      </c>
      <c r="J18" s="15">
        <f t="shared" si="1"/>
        <v>300</v>
      </c>
      <c r="K18" s="11" t="s">
        <v>63</v>
      </c>
      <c r="L18" s="11" t="s">
        <v>71</v>
      </c>
      <c r="M18" s="11" t="s">
        <v>56</v>
      </c>
      <c r="N18" s="12" t="s">
        <v>77</v>
      </c>
    </row>
    <row r="19" spans="1:14" ht="43.2" x14ac:dyDescent="0.3">
      <c r="A19" s="8">
        <v>46271</v>
      </c>
      <c r="B19" s="9">
        <v>480</v>
      </c>
      <c r="C19" s="9">
        <v>45</v>
      </c>
      <c r="D19" s="9">
        <v>150</v>
      </c>
      <c r="E19" s="9">
        <v>120</v>
      </c>
      <c r="F19" s="9">
        <v>0</v>
      </c>
      <c r="G19" s="9">
        <v>0</v>
      </c>
      <c r="H19" s="9">
        <v>300</v>
      </c>
      <c r="I19" s="15">
        <f t="shared" si="0"/>
        <v>1095</v>
      </c>
      <c r="J19" s="15">
        <f t="shared" si="1"/>
        <v>345</v>
      </c>
      <c r="K19" s="11" t="s">
        <v>70</v>
      </c>
      <c r="L19" s="11" t="s">
        <v>50</v>
      </c>
      <c r="M19" s="11" t="s">
        <v>56</v>
      </c>
      <c r="N19" s="12" t="s">
        <v>78</v>
      </c>
    </row>
    <row r="20" spans="1:14" ht="43.2" x14ac:dyDescent="0.3">
      <c r="A20" s="8">
        <v>46272</v>
      </c>
      <c r="B20" s="9">
        <v>420</v>
      </c>
      <c r="C20" s="9">
        <v>45</v>
      </c>
      <c r="D20" s="9">
        <v>120</v>
      </c>
      <c r="E20" s="9">
        <v>90</v>
      </c>
      <c r="F20" s="9">
        <v>250</v>
      </c>
      <c r="G20" s="9">
        <v>5</v>
      </c>
      <c r="H20" s="9">
        <v>180</v>
      </c>
      <c r="I20" s="15">
        <f t="shared" si="0"/>
        <v>1105</v>
      </c>
      <c r="J20" s="15">
        <f t="shared" si="1"/>
        <v>335</v>
      </c>
      <c r="K20" s="11" t="s">
        <v>61</v>
      </c>
      <c r="L20" s="11" t="s">
        <v>50</v>
      </c>
      <c r="M20" s="11" t="s">
        <v>56</v>
      </c>
      <c r="N20" s="12" t="s">
        <v>79</v>
      </c>
    </row>
    <row r="21" spans="1:14" ht="43.2" x14ac:dyDescent="0.3">
      <c r="A21" s="8">
        <v>46273</v>
      </c>
      <c r="B21" s="9">
        <v>450</v>
      </c>
      <c r="C21" s="9">
        <v>30</v>
      </c>
      <c r="D21" s="9">
        <v>150</v>
      </c>
      <c r="E21" s="9">
        <v>120</v>
      </c>
      <c r="F21" s="9">
        <v>250</v>
      </c>
      <c r="G21" s="9">
        <v>5</v>
      </c>
      <c r="H21" s="9">
        <v>150</v>
      </c>
      <c r="I21" s="15">
        <f t="shared" si="0"/>
        <v>1150</v>
      </c>
      <c r="J21" s="15">
        <f t="shared" si="1"/>
        <v>290</v>
      </c>
      <c r="K21" s="11" t="s">
        <v>57</v>
      </c>
      <c r="L21" s="11" t="s">
        <v>71</v>
      </c>
      <c r="M21" s="11" t="s">
        <v>56</v>
      </c>
      <c r="N21" s="12" t="s">
        <v>80</v>
      </c>
    </row>
    <row r="22" spans="1:14" ht="43.2" x14ac:dyDescent="0.3">
      <c r="A22" s="8">
        <v>46274</v>
      </c>
      <c r="B22" s="9">
        <v>420</v>
      </c>
      <c r="C22" s="9">
        <v>60</v>
      </c>
      <c r="D22" s="9">
        <v>120</v>
      </c>
      <c r="E22" s="9">
        <v>90</v>
      </c>
      <c r="F22" s="9">
        <v>200</v>
      </c>
      <c r="G22" s="9">
        <v>4</v>
      </c>
      <c r="H22" s="9">
        <v>180</v>
      </c>
      <c r="I22" s="15">
        <f t="shared" si="0"/>
        <v>1070</v>
      </c>
      <c r="J22" s="15">
        <f t="shared" si="1"/>
        <v>370</v>
      </c>
      <c r="K22" s="11" t="s">
        <v>49</v>
      </c>
      <c r="L22" s="11" t="s">
        <v>50</v>
      </c>
      <c r="M22" s="11" t="s">
        <v>51</v>
      </c>
      <c r="N22" s="12" t="s">
        <v>81</v>
      </c>
    </row>
    <row r="23" spans="1:14" ht="43.2" x14ac:dyDescent="0.3">
      <c r="A23" s="8">
        <v>46275</v>
      </c>
      <c r="B23" s="9">
        <v>450</v>
      </c>
      <c r="C23" s="9">
        <v>30</v>
      </c>
      <c r="D23" s="9">
        <v>120</v>
      </c>
      <c r="E23" s="9">
        <v>90</v>
      </c>
      <c r="F23" s="9">
        <v>300</v>
      </c>
      <c r="G23" s="9">
        <v>6</v>
      </c>
      <c r="H23" s="9">
        <v>180</v>
      </c>
      <c r="I23" s="15">
        <f t="shared" si="0"/>
        <v>1170</v>
      </c>
      <c r="J23" s="15">
        <f t="shared" si="1"/>
        <v>270</v>
      </c>
      <c r="K23" s="11" t="s">
        <v>58</v>
      </c>
      <c r="L23" s="11" t="s">
        <v>59</v>
      </c>
      <c r="M23" s="11" t="s">
        <v>51</v>
      </c>
      <c r="N23" s="12" t="s">
        <v>82</v>
      </c>
    </row>
    <row r="24" spans="1:14" ht="43.2" x14ac:dyDescent="0.3">
      <c r="A24" s="8">
        <v>46276</v>
      </c>
      <c r="B24" s="9">
        <v>420</v>
      </c>
      <c r="C24" s="9">
        <v>30</v>
      </c>
      <c r="D24" s="9">
        <v>90</v>
      </c>
      <c r="E24" s="9">
        <v>120</v>
      </c>
      <c r="F24" s="9">
        <v>350</v>
      </c>
      <c r="G24" s="9">
        <v>7</v>
      </c>
      <c r="H24" s="9">
        <v>180</v>
      </c>
      <c r="I24" s="15">
        <f t="shared" si="0"/>
        <v>1190</v>
      </c>
      <c r="J24" s="15">
        <f t="shared" si="1"/>
        <v>250</v>
      </c>
      <c r="K24" s="11" t="s">
        <v>62</v>
      </c>
      <c r="L24" s="11" t="s">
        <v>50</v>
      </c>
      <c r="M24" s="11" t="s">
        <v>60</v>
      </c>
      <c r="N24" s="12" t="s">
        <v>83</v>
      </c>
    </row>
    <row r="25" spans="1:14" ht="43.2" x14ac:dyDescent="0.3">
      <c r="A25" s="8">
        <v>46277</v>
      </c>
      <c r="B25" s="9">
        <v>510</v>
      </c>
      <c r="C25" s="9">
        <v>60</v>
      </c>
      <c r="D25" s="9">
        <v>180</v>
      </c>
      <c r="E25" s="9">
        <v>150</v>
      </c>
      <c r="F25" s="9">
        <v>0</v>
      </c>
      <c r="G25" s="9">
        <v>0</v>
      </c>
      <c r="H25" s="9">
        <v>240</v>
      </c>
      <c r="I25" s="15">
        <f t="shared" si="0"/>
        <v>1140</v>
      </c>
      <c r="J25" s="15">
        <f t="shared" si="1"/>
        <v>300</v>
      </c>
      <c r="K25" s="11" t="s">
        <v>63</v>
      </c>
      <c r="L25" s="11" t="s">
        <v>71</v>
      </c>
      <c r="M25" s="11" t="s">
        <v>56</v>
      </c>
      <c r="N25" s="12" t="s">
        <v>85</v>
      </c>
    </row>
    <row r="26" spans="1:14" ht="43.2" x14ac:dyDescent="0.3">
      <c r="A26" s="8">
        <v>46278</v>
      </c>
      <c r="B26" s="9">
        <v>480</v>
      </c>
      <c r="C26" s="9">
        <v>45</v>
      </c>
      <c r="D26" s="9">
        <v>150</v>
      </c>
      <c r="E26" s="9">
        <v>120</v>
      </c>
      <c r="F26" s="9">
        <v>0</v>
      </c>
      <c r="G26" s="9">
        <v>0</v>
      </c>
      <c r="H26" s="9">
        <v>300</v>
      </c>
      <c r="I26" s="15">
        <f t="shared" si="0"/>
        <v>1095</v>
      </c>
      <c r="J26" s="15">
        <f t="shared" si="1"/>
        <v>345</v>
      </c>
      <c r="K26" s="11" t="s">
        <v>70</v>
      </c>
      <c r="L26" s="11" t="s">
        <v>50</v>
      </c>
      <c r="M26" s="11" t="s">
        <v>56</v>
      </c>
      <c r="N26" s="12" t="s">
        <v>86</v>
      </c>
    </row>
    <row r="27" spans="1:14" ht="57.6" x14ac:dyDescent="0.3">
      <c r="A27" s="8">
        <v>46279</v>
      </c>
      <c r="B27" s="9">
        <v>420</v>
      </c>
      <c r="C27" s="9">
        <v>45</v>
      </c>
      <c r="D27" s="9">
        <v>120</v>
      </c>
      <c r="E27" s="9">
        <v>90</v>
      </c>
      <c r="F27" s="9">
        <v>250</v>
      </c>
      <c r="G27" s="9">
        <v>5</v>
      </c>
      <c r="H27" s="9">
        <v>180</v>
      </c>
      <c r="I27" s="15">
        <f t="shared" si="0"/>
        <v>1105</v>
      </c>
      <c r="J27" s="15">
        <f t="shared" si="1"/>
        <v>335</v>
      </c>
      <c r="K27" s="11" t="s">
        <v>61</v>
      </c>
      <c r="L27" s="11" t="s">
        <v>50</v>
      </c>
      <c r="M27" s="11" t="s">
        <v>56</v>
      </c>
      <c r="N27" s="12" t="s">
        <v>87</v>
      </c>
    </row>
    <row r="28" spans="1:14" ht="57.6" x14ac:dyDescent="0.3">
      <c r="A28" s="8">
        <v>46280</v>
      </c>
      <c r="B28" s="9">
        <v>450</v>
      </c>
      <c r="C28" s="9">
        <v>30</v>
      </c>
      <c r="D28" s="9">
        <v>150</v>
      </c>
      <c r="E28" s="9">
        <v>120</v>
      </c>
      <c r="F28" s="9">
        <v>250</v>
      </c>
      <c r="G28" s="9">
        <v>5</v>
      </c>
      <c r="H28" s="9">
        <v>150</v>
      </c>
      <c r="I28" s="15">
        <f t="shared" si="0"/>
        <v>1150</v>
      </c>
      <c r="J28" s="15">
        <f t="shared" si="1"/>
        <v>290</v>
      </c>
      <c r="K28" s="11" t="s">
        <v>57</v>
      </c>
      <c r="L28" s="11" t="s">
        <v>71</v>
      </c>
      <c r="M28" s="11" t="s">
        <v>56</v>
      </c>
      <c r="N28" s="12" t="s">
        <v>88</v>
      </c>
    </row>
    <row r="29" spans="1:14" ht="57.6" x14ac:dyDescent="0.3">
      <c r="A29" s="8">
        <v>46281</v>
      </c>
      <c r="B29" s="9">
        <v>420</v>
      </c>
      <c r="C29" s="9">
        <v>60</v>
      </c>
      <c r="D29" s="9">
        <v>120</v>
      </c>
      <c r="E29" s="9">
        <v>90</v>
      </c>
      <c r="F29" s="9">
        <v>200</v>
      </c>
      <c r="G29" s="9">
        <v>4</v>
      </c>
      <c r="H29" s="9">
        <v>180</v>
      </c>
      <c r="I29" s="15">
        <f t="shared" si="0"/>
        <v>1070</v>
      </c>
      <c r="J29" s="15">
        <f t="shared" si="1"/>
        <v>370</v>
      </c>
      <c r="K29" s="11" t="s">
        <v>49</v>
      </c>
      <c r="L29" s="11" t="s">
        <v>50</v>
      </c>
      <c r="M29" s="11" t="s">
        <v>51</v>
      </c>
      <c r="N29" s="12" t="s">
        <v>89</v>
      </c>
    </row>
    <row r="30" spans="1:14" ht="43.2" x14ac:dyDescent="0.3">
      <c r="A30" s="8">
        <v>46282</v>
      </c>
      <c r="B30" s="9">
        <v>450</v>
      </c>
      <c r="C30" s="9">
        <v>30</v>
      </c>
      <c r="D30" s="9">
        <v>120</v>
      </c>
      <c r="E30" s="9">
        <v>90</v>
      </c>
      <c r="F30" s="9">
        <v>300</v>
      </c>
      <c r="G30" s="9">
        <v>6</v>
      </c>
      <c r="H30" s="9">
        <v>180</v>
      </c>
      <c r="I30" s="15">
        <f t="shared" si="0"/>
        <v>1170</v>
      </c>
      <c r="J30" s="15">
        <f t="shared" si="1"/>
        <v>270</v>
      </c>
      <c r="K30" s="11" t="s">
        <v>58</v>
      </c>
      <c r="L30" s="11" t="s">
        <v>59</v>
      </c>
      <c r="M30" s="11" t="s">
        <v>51</v>
      </c>
      <c r="N30" s="12" t="s">
        <v>90</v>
      </c>
    </row>
    <row r="31" spans="1:14" ht="57.6" x14ac:dyDescent="0.3">
      <c r="A31" s="8">
        <v>46283</v>
      </c>
      <c r="B31" s="9">
        <v>420</v>
      </c>
      <c r="C31" s="9">
        <v>30</v>
      </c>
      <c r="D31" s="9">
        <v>90</v>
      </c>
      <c r="E31" s="9">
        <v>120</v>
      </c>
      <c r="F31" s="9">
        <v>350</v>
      </c>
      <c r="G31" s="9">
        <v>7</v>
      </c>
      <c r="H31" s="9">
        <v>180</v>
      </c>
      <c r="I31" s="15">
        <f t="shared" si="0"/>
        <v>1190</v>
      </c>
      <c r="J31" s="15">
        <f t="shared" si="1"/>
        <v>250</v>
      </c>
      <c r="K31" s="11" t="s">
        <v>62</v>
      </c>
      <c r="L31" s="11" t="s">
        <v>50</v>
      </c>
      <c r="M31" s="11" t="s">
        <v>60</v>
      </c>
      <c r="N31" s="12" t="s">
        <v>91</v>
      </c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5" t="str">
        <f t="shared" si="0"/>
        <v/>
      </c>
      <c r="J32" s="15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5" t="str">
        <f t="shared" si="0"/>
        <v/>
      </c>
      <c r="J33" s="15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5" t="str">
        <f t="shared" si="0"/>
        <v/>
      </c>
      <c r="J34" s="15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5" t="str">
        <f t="shared" si="0"/>
        <v/>
      </c>
      <c r="J35" s="15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5" t="str">
        <f t="shared" si="0"/>
        <v/>
      </c>
      <c r="J36" s="15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5" t="str">
        <f t="shared" si="0"/>
        <v/>
      </c>
      <c r="J37" s="15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5" t="str">
        <f t="shared" si="0"/>
        <v/>
      </c>
      <c r="J38" s="15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5" t="str">
        <f t="shared" si="0"/>
        <v/>
      </c>
      <c r="J39" s="15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5" t="str">
        <f t="shared" si="0"/>
        <v/>
      </c>
      <c r="J40" s="15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5" t="str">
        <f t="shared" si="0"/>
        <v/>
      </c>
      <c r="J41" s="15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5" t="str">
        <f t="shared" si="0"/>
        <v/>
      </c>
      <c r="J42" s="15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5" t="str">
        <f t="shared" si="0"/>
        <v/>
      </c>
      <c r="J43" s="15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5" t="str">
        <f t="shared" si="0"/>
        <v/>
      </c>
      <c r="J44" s="15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5" t="str">
        <f t="shared" si="0"/>
        <v/>
      </c>
      <c r="J45" s="15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5" t="str">
        <f t="shared" si="0"/>
        <v/>
      </c>
      <c r="J46" s="15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5" t="str">
        <f t="shared" si="0"/>
        <v/>
      </c>
      <c r="J47" s="15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5" t="str">
        <f t="shared" si="0"/>
        <v/>
      </c>
      <c r="J48" s="15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5" t="str">
        <f t="shared" si="0"/>
        <v/>
      </c>
      <c r="J49" s="15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5" t="str">
        <f t="shared" si="0"/>
        <v/>
      </c>
      <c r="J50" s="15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5" t="str">
        <f t="shared" si="0"/>
        <v/>
      </c>
      <c r="J51" s="15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5" t="str">
        <f t="shared" si="0"/>
        <v/>
      </c>
      <c r="J52" s="15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5" t="str">
        <f t="shared" si="0"/>
        <v/>
      </c>
      <c r="J53" s="15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5" t="str">
        <f t="shared" si="0"/>
        <v/>
      </c>
      <c r="J54" s="15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5" t="str">
        <f t="shared" si="0"/>
        <v/>
      </c>
      <c r="J55" s="15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5" t="str">
        <f t="shared" si="0"/>
        <v/>
      </c>
      <c r="J56" s="15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5" t="str">
        <f t="shared" si="0"/>
        <v/>
      </c>
      <c r="J57" s="15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5" t="str">
        <f t="shared" si="0"/>
        <v/>
      </c>
      <c r="J58" s="15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5" t="str">
        <f t="shared" si="0"/>
        <v/>
      </c>
      <c r="J59" s="15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5" t="str">
        <f t="shared" si="0"/>
        <v/>
      </c>
      <c r="J60" s="15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5" t="str">
        <f t="shared" si="0"/>
        <v/>
      </c>
      <c r="J61" s="15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5" t="str">
        <f t="shared" si="0"/>
        <v/>
      </c>
      <c r="J62" s="15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5" t="str">
        <f t="shared" si="0"/>
        <v/>
      </c>
      <c r="J63" s="15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5" t="str">
        <f t="shared" si="0"/>
        <v/>
      </c>
      <c r="J64" s="15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5" t="str">
        <f t="shared" si="0"/>
        <v/>
      </c>
      <c r="J65" s="15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5" t="str">
        <f t="shared" si="0"/>
        <v/>
      </c>
      <c r="J66" s="15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5" t="str">
        <f t="shared" si="0"/>
        <v/>
      </c>
      <c r="J67" s="15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5" t="str">
        <f t="shared" si="0"/>
        <v/>
      </c>
      <c r="J68" s="15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5" t="str">
        <f t="shared" si="0"/>
        <v/>
      </c>
      <c r="J69" s="15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5" t="str">
        <f t="shared" si="2"/>
        <v/>
      </c>
      <c r="J71" s="15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5" t="str">
        <f t="shared" si="2"/>
        <v/>
      </c>
      <c r="J72" s="15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5" t="str">
        <f t="shared" si="2"/>
        <v/>
      </c>
      <c r="J73" s="15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5" t="str">
        <f t="shared" si="2"/>
        <v/>
      </c>
      <c r="J74" s="15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5" t="str">
        <f t="shared" si="2"/>
        <v/>
      </c>
      <c r="J75" s="15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5" t="str">
        <f t="shared" si="2"/>
        <v/>
      </c>
      <c r="J76" s="15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5" t="str">
        <f t="shared" si="2"/>
        <v/>
      </c>
      <c r="J77" s="15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5" t="str">
        <f t="shared" si="2"/>
        <v/>
      </c>
      <c r="J78" s="15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5" t="str">
        <f t="shared" si="2"/>
        <v/>
      </c>
      <c r="J79" s="15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5" t="str">
        <f t="shared" si="2"/>
        <v/>
      </c>
      <c r="J80" s="15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5" t="str">
        <f t="shared" si="2"/>
        <v/>
      </c>
      <c r="J81" s="15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5" t="str">
        <f t="shared" si="2"/>
        <v/>
      </c>
      <c r="J82" s="15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5" t="str">
        <f t="shared" si="2"/>
        <v/>
      </c>
      <c r="J83" s="15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5" t="str">
        <f t="shared" si="2"/>
        <v/>
      </c>
      <c r="J84" s="15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5" t="str">
        <f t="shared" si="2"/>
        <v/>
      </c>
      <c r="J85" s="15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5" t="str">
        <f t="shared" si="2"/>
        <v/>
      </c>
      <c r="J86" s="15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5" t="str">
        <f t="shared" si="2"/>
        <v/>
      </c>
      <c r="J87" s="15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5" t="str">
        <f t="shared" si="2"/>
        <v/>
      </c>
      <c r="J88" s="15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5" t="str">
        <f t="shared" si="2"/>
        <v/>
      </c>
      <c r="J89" s="15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5" t="str">
        <f t="shared" si="2"/>
        <v/>
      </c>
      <c r="J90" s="15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5" t="str">
        <f t="shared" si="2"/>
        <v/>
      </c>
      <c r="J91" s="15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5" t="str">
        <f t="shared" si="2"/>
        <v/>
      </c>
      <c r="J92" s="15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5" t="str">
        <f t="shared" si="2"/>
        <v/>
      </c>
      <c r="J93" s="15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5" t="str">
        <f t="shared" si="2"/>
        <v/>
      </c>
      <c r="J94" s="15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5" t="str">
        <f t="shared" si="2"/>
        <v/>
      </c>
      <c r="J95" s="15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5" t="str">
        <f t="shared" si="2"/>
        <v/>
      </c>
      <c r="J96" s="15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5" t="str">
        <f t="shared" si="2"/>
        <v/>
      </c>
      <c r="J97" s="15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5" t="str">
        <f t="shared" si="2"/>
        <v/>
      </c>
      <c r="J98" s="15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5" t="str">
        <f t="shared" si="2"/>
        <v/>
      </c>
      <c r="J99" s="15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5" t="str">
        <f t="shared" si="2"/>
        <v/>
      </c>
      <c r="J100" s="15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5" t="str">
        <f t="shared" si="2"/>
        <v/>
      </c>
      <c r="J101" s="15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5" t="str">
        <f t="shared" si="2"/>
        <v/>
      </c>
      <c r="J102" s="15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5" t="str">
        <f t="shared" si="2"/>
        <v/>
      </c>
      <c r="J103" s="15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5" t="str">
        <f t="shared" si="2"/>
        <v/>
      </c>
      <c r="J104" s="15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5" t="str">
        <f t="shared" si="2"/>
        <v/>
      </c>
      <c r="J105" s="15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5" t="str">
        <f t="shared" si="2"/>
        <v/>
      </c>
      <c r="J106" s="15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5" t="str">
        <f t="shared" si="2"/>
        <v/>
      </c>
      <c r="J107" s="15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5" t="str">
        <f t="shared" si="2"/>
        <v/>
      </c>
      <c r="J108" s="15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5" t="str">
        <f t="shared" si="2"/>
        <v/>
      </c>
      <c r="J109" s="15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5" t="str">
        <f t="shared" si="2"/>
        <v/>
      </c>
      <c r="J110" s="15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5" t="str">
        <f t="shared" si="2"/>
        <v/>
      </c>
      <c r="J111" s="15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5" t="str">
        <f t="shared" si="2"/>
        <v/>
      </c>
      <c r="J112" s="15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5" t="str">
        <f t="shared" si="2"/>
        <v/>
      </c>
      <c r="J113" s="15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5" t="str">
        <f t="shared" si="2"/>
        <v/>
      </c>
      <c r="J114" s="15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5" t="str">
        <f t="shared" si="2"/>
        <v/>
      </c>
      <c r="J115" s="15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5" t="str">
        <f t="shared" si="2"/>
        <v/>
      </c>
      <c r="J116" s="15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5" t="str">
        <f t="shared" si="2"/>
        <v/>
      </c>
      <c r="J117" s="15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5" t="str">
        <f t="shared" si="2"/>
        <v/>
      </c>
      <c r="J118" s="15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5" t="str">
        <f t="shared" si="2"/>
        <v/>
      </c>
      <c r="J119" s="15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5" t="str">
        <f t="shared" si="2"/>
        <v/>
      </c>
      <c r="J120" s="15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5" t="str">
        <f t="shared" si="2"/>
        <v/>
      </c>
      <c r="J121" s="15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5" t="str">
        <f t="shared" si="2"/>
        <v/>
      </c>
      <c r="J122" s="15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5" t="str">
        <f t="shared" si="2"/>
        <v/>
      </c>
      <c r="J123" s="15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5" t="str">
        <f t="shared" si="2"/>
        <v/>
      </c>
      <c r="J124" s="15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5" t="str">
        <f t="shared" si="2"/>
        <v/>
      </c>
      <c r="J125" s="15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5" t="str">
        <f t="shared" si="2"/>
        <v/>
      </c>
      <c r="J126" s="15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5" t="str">
        <f t="shared" si="2"/>
        <v/>
      </c>
      <c r="J127" s="15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5" t="str">
        <f t="shared" si="2"/>
        <v/>
      </c>
      <c r="J128" s="15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5" t="str">
        <f t="shared" si="2"/>
        <v/>
      </c>
      <c r="J129" s="15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5" t="str">
        <f t="shared" si="2"/>
        <v/>
      </c>
      <c r="J130" s="15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5" t="str">
        <f t="shared" si="2"/>
        <v/>
      </c>
      <c r="J131" s="15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5" t="str">
        <f t="shared" si="2"/>
        <v/>
      </c>
      <c r="J132" s="15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5" t="str">
        <f t="shared" si="2"/>
        <v/>
      </c>
      <c r="J133" s="15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5" t="str">
        <f t="shared" si="4"/>
        <v/>
      </c>
      <c r="J135" s="15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14"/>
      <c r="C136" s="14"/>
      <c r="D136" s="14"/>
      <c r="E136" s="14"/>
      <c r="F136" s="14"/>
      <c r="G136" s="14"/>
      <c r="H136" s="9"/>
      <c r="I136" s="15" t="str">
        <f t="shared" si="4"/>
        <v/>
      </c>
      <c r="J136" s="15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8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8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8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8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8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8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8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8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8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8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8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8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8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8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8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8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8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8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8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8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8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8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8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8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8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8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8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8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8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8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8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8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8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8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8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8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8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8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8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8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8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8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8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8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8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8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8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8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8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8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8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8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8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8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8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8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8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8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8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8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8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8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8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8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8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8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8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8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8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8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8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8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8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8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hello ji</cp:lastModifiedBy>
  <cp:revision>0</cp:revision>
  <dcterms:created xsi:type="dcterms:W3CDTF">2026-07-24T11:49:30Z</dcterms:created>
  <dcterms:modified xsi:type="dcterms:W3CDTF">2026-09-18T10:06:44Z</dcterms:modified>
  <dc:language>en-US</dc:language>
</cp:coreProperties>
</file>